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stemaseb-my.sharepoint.com/personal/tatiane_xavier_sebsa_com_br/Documents/TrocaSLM/"/>
    </mc:Choice>
  </mc:AlternateContent>
  <xr:revisionPtr revIDLastSave="0" documentId="8_{0DFA35CA-259C-4645-816A-32F1E59A21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culadora" sheetId="1" r:id="rId1"/>
    <sheet name="B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1" l="1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23" i="1"/>
  <c r="K12" i="1"/>
  <c r="H21" i="1" s="1"/>
  <c r="E9" i="1"/>
  <c r="E8" i="1"/>
  <c r="E7" i="1"/>
  <c r="E6" i="1"/>
  <c r="E5" i="1"/>
  <c r="E10" i="1" l="1"/>
  <c r="K11" i="1" s="1"/>
  <c r="E11" i="1" l="1"/>
  <c r="K13" i="1"/>
  <c r="H20" i="1"/>
  <c r="H22" i="1" l="1"/>
  <c r="K15" i="1"/>
  <c r="H24" i="1" l="1"/>
  <c r="H25" i="1" l="1"/>
  <c r="A45" i="1" l="1"/>
  <c r="A36" i="1"/>
  <c r="A31" i="1"/>
</calcChain>
</file>

<file path=xl/sharedStrings.xml><?xml version="1.0" encoding="utf-8"?>
<sst xmlns="http://schemas.openxmlformats.org/spreadsheetml/2006/main" count="74" uniqueCount="57">
  <si>
    <t>Calculadora de Troca SLM</t>
  </si>
  <si>
    <t>Preencha somente os campos em vermelho claro. A lógica considera a composição do pedido principal e da nova compra (SLM, workbook, Matemática Aplicada e Pearson selecionados). O voucher aplicado no SLM altera o valor efetivamente pago e, por isso, altera o crédito disponível na loja. Juros não mudam a composição do material, mas entram no crédito financeiro.</t>
  </si>
  <si>
    <t>Pedido principal</t>
  </si>
  <si>
    <t>Detalhamento do pedido principal</t>
  </si>
  <si>
    <t>Nova compra</t>
  </si>
  <si>
    <t>Turma</t>
  </si>
  <si>
    <t>Year 1</t>
  </si>
  <si>
    <t>SLM base</t>
  </si>
  <si>
    <t>Year 2</t>
  </si>
  <si>
    <t>Pearson Math?</t>
  </si>
  <si>
    <t>Não</t>
  </si>
  <si>
    <t>Workbook obrigatório</t>
  </si>
  <si>
    <t>Pearson Science?</t>
  </si>
  <si>
    <t>Matemática Aplicada</t>
  </si>
  <si>
    <t>Voucher no SLM (R$)</t>
  </si>
  <si>
    <t>Pearson Math</t>
  </si>
  <si>
    <t>Teve juros?</t>
  </si>
  <si>
    <t>Pearson Science</t>
  </si>
  <si>
    <t>Bloco operacional — resumo financeiro</t>
  </si>
  <si>
    <t>Valor dos juros (R$)</t>
  </si>
  <si>
    <t>Valor considerado no pedido principal</t>
  </si>
  <si>
    <t>Valor dos materiais que ficará disponível na loja</t>
  </si>
  <si>
    <t>Valor pago dos materiais</t>
  </si>
  <si>
    <t>Valor dos juros que ficará disponível na loja</t>
  </si>
  <si>
    <t>Valor total que ficará disponível na loja</t>
  </si>
  <si>
    <t>Crédito de juros na loja</t>
  </si>
  <si>
    <t>Valor da nova compra</t>
  </si>
  <si>
    <t>Crédito total disponível na loja</t>
  </si>
  <si>
    <t>Diferença a pagar pelo responsável</t>
  </si>
  <si>
    <t>Saldo que sobraria na loja</t>
  </si>
  <si>
    <t>Parcela do saldo que é juros</t>
  </si>
  <si>
    <t>Resultado da análise</t>
  </si>
  <si>
    <t>Pode fazer a troca?</t>
  </si>
  <si>
    <t>Regra usada na calculadora</t>
  </si>
  <si>
    <t>Importante: a análise da troca considera a composição do pedido principal e da nova compra (SLM, workbook, Matemática Aplicada e Pearson selecionados), além do valor efetivamente pago. O voucher aplicado no SLM altera o valor que ficará disponível na loja. Os juros não mudam a composição do material, mas compõem o crédito financeiro. Se sobrar saldo na loja, a troca não pode seguir. Se faltar valor para a nova compra, a troca pode seguir com pagamento da diferença.</t>
  </si>
  <si>
    <t>Resumo simples para uso interno</t>
  </si>
  <si>
    <t>Mensagem pronta para envio à escola</t>
  </si>
  <si>
    <t>Mensagem pronta para envio ao responsável</t>
  </si>
  <si>
    <t>Base de valores e regra geral</t>
  </si>
  <si>
    <t>Os valores abaixo detalham SLM base, workbook obrigatório, Matemática Aplicada e Pearson por turma. O voucher é aplicado somente no SLM base e altera o valor efetivamente pago. Juros não alteram a composição do material, mas entram como crédito financeiro disponível na loja.</t>
  </si>
  <si>
    <t>Total obrigatório</t>
  </si>
  <si>
    <t>Total com todos os Pearson</t>
  </si>
  <si>
    <t>Early Toddler (Bear Care)</t>
  </si>
  <si>
    <t>Toddler</t>
  </si>
  <si>
    <t>Nursery</t>
  </si>
  <si>
    <t>Junior Kindergarten</t>
  </si>
  <si>
    <t>Senior Kindergarten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</si>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</sst>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C00000"/>
      <name val="Cambria"/>
      <charset val="1"/>
    </font>
    <font>
      <sz val="12"/>
      <color rgb="FF000000"/>
      <name val="Calibri"/>
      <charset val="1"/>
    </font>
    <font>
      <b/>
      <sz val="11"/>
      <color rgb="FFC00000"/>
      <name val="Cambria"/>
      <charset val="1"/>
    </font>
    <font>
      <sz val="11"/>
      <color rgb="FF000000"/>
      <name val="Cambria"/>
      <charset val="1"/>
    </font>
    <font>
      <b/>
      <sz val="12"/>
      <color rgb="FFFFFFFF"/>
      <name val="Cambria"/>
      <charset val="1"/>
    </font>
  </fonts>
  <fills count="12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F2F2F2"/>
        <bgColor rgb="FFF9ECEC"/>
      </patternFill>
    </fill>
    <fill>
      <patternFill patternType="solid">
        <fgColor rgb="FFFCE4D6"/>
        <bgColor rgb="FFF9ECEC"/>
      </patternFill>
    </fill>
    <fill>
      <patternFill patternType="solid">
        <fgColor rgb="FFFFFFFF"/>
        <bgColor rgb="FFFFF2F2"/>
      </patternFill>
    </fill>
    <fill>
      <patternFill patternType="solid">
        <fgColor rgb="FFFFF2F2"/>
        <bgColor rgb="FFF9ECEC"/>
      </patternFill>
    </fill>
    <fill>
      <patternFill patternType="solid">
        <fgColor rgb="FFF9ECEC"/>
        <bgColor rgb="FFFFF2F2"/>
      </patternFill>
    </fill>
    <fill>
      <patternFill patternType="solid">
        <fgColor rgb="FF9E1B1B"/>
        <bgColor rgb="FF9C0006"/>
      </patternFill>
    </fill>
    <fill>
      <patternFill patternType="solid">
        <fgColor theme="0"/>
        <bgColor rgb="FF9C000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ECEC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0" fillId="4" borderId="1" xfId="0" applyFill="1" applyBorder="1"/>
    <xf numFmtId="164" fontId="0" fillId="3" borderId="1" xfId="0" applyNumberFormat="1" applyFill="1" applyBorder="1" applyAlignment="1">
      <alignment horizontal="right"/>
    </xf>
    <xf numFmtId="0" fontId="3" fillId="4" borderId="1" xfId="0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 applyAlignment="1">
      <alignment horizontal="right"/>
    </xf>
    <xf numFmtId="164" fontId="0" fillId="6" borderId="1" xfId="0" applyNumberFormat="1" applyFill="1" applyBorder="1" applyAlignment="1">
      <alignment horizontal="right"/>
    </xf>
    <xf numFmtId="0" fontId="6" fillId="0" borderId="1" xfId="0" applyFont="1" applyBorder="1"/>
    <xf numFmtId="0" fontId="7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4" fillId="10" borderId="1" xfId="0" applyFont="1" applyFill="1" applyBorder="1"/>
    <xf numFmtId="164" fontId="0" fillId="11" borderId="1" xfId="0" applyNumberFormat="1" applyFill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vertical="top" wrapText="1"/>
    </xf>
    <xf numFmtId="0" fontId="7" fillId="7" borderId="0" xfId="0" applyFont="1" applyFill="1" applyAlignment="1">
      <alignment horizontal="center" vertical="top" wrapText="1"/>
    </xf>
    <xf numFmtId="0" fontId="6" fillId="0" borderId="0" xfId="0" applyFont="1" applyAlignment="1">
      <alignment vertical="center"/>
    </xf>
    <xf numFmtId="164" fontId="7" fillId="7" borderId="0" xfId="0" applyNumberFormat="1" applyFont="1" applyFill="1" applyAlignment="1">
      <alignment horizontal="right"/>
    </xf>
    <xf numFmtId="0" fontId="2" fillId="9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F2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ECEC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E1B1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tabSelected="1" zoomScale="62" zoomScaleNormal="62" workbookViewId="0">
      <pane ySplit="3" topLeftCell="A4" activePane="bottomLeft" state="frozen"/>
      <selection pane="bottomLeft" activeCell="B5" sqref="B5"/>
    </sheetView>
  </sheetViews>
  <sheetFormatPr defaultColWidth="8.6328125" defaultRowHeight="15" customHeight="1" x14ac:dyDescent="0.35"/>
  <cols>
    <col min="1" max="1" width="22" customWidth="1"/>
    <col min="2" max="2" width="15" customWidth="1"/>
    <col min="3" max="3" width="4" customWidth="1"/>
    <col min="4" max="4" width="32" customWidth="1"/>
    <col min="5" max="5" width="16" customWidth="1"/>
    <col min="6" max="6" width="4" customWidth="1"/>
    <col min="7" max="7" width="40" customWidth="1"/>
    <col min="8" max="8" width="18" customWidth="1"/>
    <col min="9" max="9" width="4" customWidth="1"/>
    <col min="10" max="10" width="26" hidden="1" customWidth="1"/>
    <col min="11" max="11" width="14" hidden="1" customWidth="1"/>
  </cols>
  <sheetData>
    <row r="1" spans="1:28" ht="17.25" customHeight="1" x14ac:dyDescent="0.35">
      <c r="A1" s="26" t="s">
        <v>0</v>
      </c>
      <c r="B1" s="26"/>
      <c r="C1" s="26"/>
      <c r="D1" s="26"/>
      <c r="E1" s="26"/>
      <c r="F1" s="26"/>
      <c r="G1" s="26"/>
      <c r="H1" s="26"/>
    </row>
    <row r="2" spans="1:28" ht="42" customHeight="1" x14ac:dyDescent="0.35">
      <c r="A2" s="27" t="s">
        <v>1</v>
      </c>
      <c r="B2" s="27"/>
      <c r="C2" s="27"/>
      <c r="D2" s="27"/>
      <c r="E2" s="27"/>
      <c r="F2" s="27"/>
      <c r="G2" s="27"/>
      <c r="H2" s="27"/>
    </row>
    <row r="4" spans="1:28" ht="15" customHeight="1" x14ac:dyDescent="0.35">
      <c r="A4" s="28" t="s">
        <v>2</v>
      </c>
      <c r="B4" s="28"/>
      <c r="C4" s="2"/>
      <c r="D4" s="28" t="s">
        <v>3</v>
      </c>
      <c r="E4" s="28"/>
      <c r="F4" s="2"/>
      <c r="G4" s="28" t="s">
        <v>4</v>
      </c>
      <c r="H4" s="28"/>
      <c r="Q4" s="16" t="s">
        <v>33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ht="15" customHeight="1" x14ac:dyDescent="0.35">
      <c r="A5" s="3" t="s">
        <v>5</v>
      </c>
      <c r="B5" s="4" t="s">
        <v>47</v>
      </c>
      <c r="C5" s="2"/>
      <c r="D5" s="3" t="s">
        <v>7</v>
      </c>
      <c r="E5" s="5">
        <f>INDEX(Base!$A$2:$H$18,MATCH($B$5,Base!$A$2:$A$18,0),2)</f>
        <v>4065</v>
      </c>
      <c r="F5" s="2"/>
      <c r="G5" s="6" t="s">
        <v>5</v>
      </c>
      <c r="H5" s="4" t="s">
        <v>46</v>
      </c>
      <c r="Q5" s="18" t="s">
        <v>34</v>
      </c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 ht="15" customHeight="1" x14ac:dyDescent="0.35">
      <c r="A6" s="3" t="s">
        <v>9</v>
      </c>
      <c r="B6" s="4" t="s">
        <v>10</v>
      </c>
      <c r="C6" s="2"/>
      <c r="D6" s="3" t="s">
        <v>11</v>
      </c>
      <c r="E6" s="5">
        <f>INDEX(Base!$A$2:$H$18,MATCH($B$5,Base!$A$2:$A$18,0),3)</f>
        <v>81</v>
      </c>
      <c r="F6" s="2"/>
      <c r="G6" s="6" t="s">
        <v>9</v>
      </c>
      <c r="H6" s="4" t="s">
        <v>10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ht="15" customHeight="1" x14ac:dyDescent="0.35">
      <c r="A7" s="3" t="s">
        <v>12</v>
      </c>
      <c r="B7" s="4" t="s">
        <v>10</v>
      </c>
      <c r="C7" s="2"/>
      <c r="D7" s="3" t="s">
        <v>13</v>
      </c>
      <c r="E7" s="5">
        <f>INDEX(Base!$A$2:$H$18,MATCH($B$5,Base!$A$2:$A$18,0),4)</f>
        <v>0</v>
      </c>
      <c r="F7" s="2"/>
      <c r="G7" s="6" t="s">
        <v>12</v>
      </c>
      <c r="H7" s="4" t="s">
        <v>10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ht="15" customHeight="1" x14ac:dyDescent="0.35">
      <c r="A8" s="3" t="s">
        <v>14</v>
      </c>
      <c r="B8" s="4">
        <v>0</v>
      </c>
      <c r="C8" s="2"/>
      <c r="D8" s="3" t="s">
        <v>15</v>
      </c>
      <c r="E8" s="5">
        <f>IF($B$6="Sim",INDEX(Base!$A$2:$H$18,MATCH($B$5,Base!$A$2:$A$18,0),5),0)</f>
        <v>0</v>
      </c>
      <c r="F8" s="2"/>
      <c r="G8" s="6" t="s">
        <v>14</v>
      </c>
      <c r="H8" s="4">
        <v>0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ht="15" customHeight="1" x14ac:dyDescent="0.35">
      <c r="A9" s="3" t="s">
        <v>16</v>
      </c>
      <c r="B9" s="4" t="s">
        <v>10</v>
      </c>
      <c r="C9" s="2"/>
      <c r="D9" s="3" t="s">
        <v>17</v>
      </c>
      <c r="E9" s="5">
        <f>IF($B$7="Sim",INDEX(Base!$A$2:$H$18,MATCH($B$5,Base!$A$2:$A$18,0),6),0)</f>
        <v>0</v>
      </c>
      <c r="F9" s="2"/>
      <c r="G9" s="21"/>
      <c r="H9" s="21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5" customHeight="1" x14ac:dyDescent="0.35">
      <c r="A10" s="3" t="s">
        <v>19</v>
      </c>
      <c r="B10" s="4">
        <v>0</v>
      </c>
      <c r="C10" s="2"/>
      <c r="D10" s="3" t="s">
        <v>20</v>
      </c>
      <c r="E10" s="5">
        <f>SUM(E5:E9)</f>
        <v>4146</v>
      </c>
      <c r="F10" s="2"/>
      <c r="G10" s="14"/>
      <c r="H10" s="15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ht="15" customHeight="1" x14ac:dyDescent="0.35">
      <c r="A11" s="2"/>
      <c r="B11" s="2"/>
      <c r="C11" s="2"/>
      <c r="D11" s="3" t="s">
        <v>22</v>
      </c>
      <c r="E11" s="5">
        <f>MAX(E10-$B$8,0)</f>
        <v>4146</v>
      </c>
      <c r="F11" s="2"/>
      <c r="G11" s="14"/>
      <c r="H11" s="15"/>
      <c r="J11" t="s">
        <v>22</v>
      </c>
      <c r="K11">
        <f>MAX(E10-$B$8,0)</f>
        <v>4146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ht="15" customHeight="1" x14ac:dyDescent="0.35">
      <c r="A12" s="2"/>
      <c r="B12" s="2"/>
      <c r="C12" s="2"/>
      <c r="D12" s="7"/>
      <c r="E12" s="8"/>
      <c r="F12" s="2"/>
      <c r="G12" s="14"/>
      <c r="H12" s="15"/>
      <c r="J12" t="s">
        <v>25</v>
      </c>
      <c r="K12">
        <f>IF($B$9="Sim",$B$10,0)</f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ht="8" customHeight="1" x14ac:dyDescent="0.35">
      <c r="A13" s="2"/>
      <c r="B13" s="2"/>
      <c r="C13" s="2"/>
      <c r="D13" s="7"/>
      <c r="E13" s="8"/>
      <c r="F13" s="2"/>
      <c r="G13" s="14"/>
      <c r="H13" s="15"/>
      <c r="J13" t="s">
        <v>27</v>
      </c>
      <c r="K13">
        <f>K11+K12</f>
        <v>4146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ht="26" customHeight="1" x14ac:dyDescent="0.35">
      <c r="A14" s="2"/>
      <c r="B14" s="2"/>
      <c r="C14" s="2"/>
      <c r="D14" s="2"/>
      <c r="E14" s="2"/>
      <c r="F14" s="2"/>
      <c r="G14" s="14"/>
      <c r="H14" s="15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ht="3.75" customHeight="1" x14ac:dyDescent="0.35">
      <c r="H15" s="9"/>
      <c r="J15" t="s">
        <v>30</v>
      </c>
      <c r="K15">
        <f>MIN(K12,K14)</f>
        <v>0</v>
      </c>
    </row>
    <row r="16" spans="1:28" ht="15" customHeight="1" x14ac:dyDescent="0.35">
      <c r="A16" s="22" t="s">
        <v>31</v>
      </c>
      <c r="B16" s="22"/>
      <c r="C16" s="22"/>
      <c r="D16" s="22"/>
      <c r="E16" s="22"/>
      <c r="F16" s="22"/>
      <c r="G16" s="22"/>
      <c r="H16" s="22"/>
    </row>
    <row r="17" spans="1:12" ht="15" customHeight="1" x14ac:dyDescent="0.35">
      <c r="A17" s="10" t="s">
        <v>32</v>
      </c>
      <c r="B17" s="23" t="str">
        <f>IF(H15&gt;0,"NÃO PODE TROCAR","PODE TROCAR")</f>
        <v>PODE TROCAR</v>
      </c>
      <c r="C17" s="24"/>
      <c r="D17" s="24"/>
      <c r="E17" s="24"/>
      <c r="F17" s="24"/>
      <c r="G17" s="24"/>
      <c r="H17" s="25"/>
    </row>
    <row r="19" spans="1:12" ht="24" customHeight="1" x14ac:dyDescent="0.35">
      <c r="A19" s="16" t="s">
        <v>18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41.5" customHeight="1" x14ac:dyDescent="0.35">
      <c r="A20" s="19" t="s">
        <v>21</v>
      </c>
      <c r="B20" s="19"/>
      <c r="C20" s="19"/>
      <c r="D20" s="19"/>
      <c r="E20" s="19"/>
      <c r="F20" s="19"/>
      <c r="G20" s="19"/>
      <c r="H20" s="20">
        <f>K11</f>
        <v>4146</v>
      </c>
      <c r="I20" s="20"/>
      <c r="J20" s="20"/>
      <c r="K20" s="20"/>
      <c r="L20" s="20"/>
    </row>
    <row r="21" spans="1:12" ht="37.5" customHeight="1" x14ac:dyDescent="0.35">
      <c r="A21" s="19" t="s">
        <v>23</v>
      </c>
      <c r="B21" s="19"/>
      <c r="C21" s="19"/>
      <c r="D21" s="19"/>
      <c r="E21" s="19"/>
      <c r="F21" s="19"/>
      <c r="G21" s="19"/>
      <c r="H21" s="20">
        <f>K12</f>
        <v>0</v>
      </c>
      <c r="I21" s="20"/>
      <c r="J21" s="20"/>
      <c r="K21" s="20"/>
      <c r="L21" s="20"/>
    </row>
    <row r="22" spans="1:12" ht="34.5" customHeight="1" x14ac:dyDescent="0.35">
      <c r="A22" s="19" t="s">
        <v>24</v>
      </c>
      <c r="B22" s="19"/>
      <c r="C22" s="19"/>
      <c r="D22" s="19"/>
      <c r="E22" s="19"/>
      <c r="F22" s="19"/>
      <c r="G22" s="19"/>
      <c r="H22" s="20">
        <f>K13</f>
        <v>4146</v>
      </c>
      <c r="I22" s="20"/>
      <c r="J22" s="20"/>
      <c r="K22" s="20"/>
      <c r="L22" s="20"/>
    </row>
    <row r="23" spans="1:12" ht="28" customHeight="1" x14ac:dyDescent="0.35">
      <c r="A23" s="19" t="s">
        <v>26</v>
      </c>
      <c r="B23" s="19"/>
      <c r="C23" s="19"/>
      <c r="D23" s="19"/>
      <c r="E23" s="19"/>
      <c r="F23" s="19"/>
      <c r="G23" s="19"/>
      <c r="H23" s="20">
        <f>H13</f>
        <v>0</v>
      </c>
      <c r="I23" s="20"/>
      <c r="J23" s="20"/>
      <c r="K23" s="20"/>
      <c r="L23" s="20"/>
    </row>
    <row r="24" spans="1:12" ht="24" customHeight="1" x14ac:dyDescent="0.35">
      <c r="A24" s="19" t="s">
        <v>28</v>
      </c>
      <c r="B24" s="19"/>
      <c r="C24" s="19"/>
      <c r="D24" s="19"/>
      <c r="E24" s="19"/>
      <c r="F24" s="19"/>
      <c r="G24" s="19"/>
      <c r="H24" s="20">
        <f>H14</f>
        <v>0</v>
      </c>
      <c r="I24" s="20"/>
      <c r="J24" s="20"/>
      <c r="K24" s="20"/>
      <c r="L24" s="20"/>
    </row>
    <row r="25" spans="1:12" ht="33" customHeight="1" x14ac:dyDescent="0.35">
      <c r="A25" s="19" t="s">
        <v>29</v>
      </c>
      <c r="B25" s="19"/>
      <c r="C25" s="19"/>
      <c r="D25" s="19"/>
      <c r="E25" s="19"/>
      <c r="F25" s="19"/>
      <c r="G25" s="19"/>
      <c r="H25" s="20">
        <f>H15</f>
        <v>0</v>
      </c>
      <c r="I25" s="20"/>
      <c r="J25" s="20"/>
      <c r="K25" s="20"/>
      <c r="L25" s="20"/>
    </row>
    <row r="26" spans="1:12" ht="25.5" customHeigh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25.5" customHeigh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45" hidden="1" customHeight="1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24" customHeigh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30.5" customHeight="1" x14ac:dyDescent="0.35">
      <c r="A30" s="16" t="s">
        <v>35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15" customHeight="1" x14ac:dyDescent="0.35">
      <c r="A31" s="17" t="str">
        <f>IF($B$17="PODE TROCAR","Pode seguir com a troca. Pedido principal: "&amp;$B$5&amp;". Nova compra: "&amp;$H$5&amp;". "&amp;IF($H$14&gt;0,"O responsável deverá pagar a diferença de "&amp;TEXT($H$14,"R$ #,##0.00")&amp;". ","Não haverá diferença a pagar. ")&amp;"Após a confirmação da troca, aguardar 24 horas e depois ajustar a matrícula no LEX para liberar o valor na loja.","Não pode seguir com a troca. Pedido principal: "&amp;$B$5&amp;". Nova compra: "&amp;$H$5&amp;". Sobraria saldo de "&amp;TEXT($H$15,"R$ #,##0.00")&amp;" na loja. Por isso, será necessário cancelar o pedido principal e, após 24 horas, realizar a matrícula correta no LEX para nova compra integral.")</f>
        <v>Pode seguir com a troca. Pedido principal: Year 3. Nova compra: Senior Kindergarten. Não haverá diferença a pagar. Após a confirmação da troca, aguardar 24 horas e depois ajustar a matrícula no LEX para liberar o valor na loja.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ht="24" customHeight="1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24" customHeight="1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120" customHeigh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27" customHeight="1" x14ac:dyDescent="0.35">
      <c r="A35" s="16" t="s">
        <v>36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ht="108.5" customHeight="1" x14ac:dyDescent="0.35">
      <c r="A36" s="17" t="str">
        <f>IF($B$17="PODE TROCAR","Vamos seguir com a troca neste caso. O pedido principal foi realizado para a turma "&amp;$B$5&amp;", no valor de "&amp;TEXT($K$13,"R$ #,##0.00")&amp;", e a nova compra será para a turma "&amp;$H$5&amp;", no valor de "&amp;TEXT($H$13,"R$ #,##0.00")&amp;". Após a análise da composição do pedido principal, da nova compra e do valor efetivamente pago, identificamos que é possível seguir com a troca neste cenário. "&amp;IF($H$14&gt;0,"Como o valor disponível na loja é menor que o valor da nova compra, será necessário que o responsável realize o pagamento da diferença de "&amp;TEXT($H$14,"R$ #,##0.00")&amp;" para concluir a compra do material correto. ","Como o valor disponível na loja é suficiente para a nova compra, não haverá diferença a pagar pelo responsável. ")&amp;_xlfn._LONGTEXT("Após a confirmação da troca, será necessário aguardar 24 horas e, depois desse prazo, a escola deverá realizar o ajuste da matrícula do(a) aluno(a) na turma correta dentro do LEX. Somente após esse ajuste o valor ficará disponível na loja para realização ","da nova compra. Antes desse prazo, não deve ser feita nenhuma alteração no LEX. No momento da compra, orientem o responsável a verificar se o valor foi abatido corretamente antes de finalizar o pedido."),"Não será possível seguir com a troca neste caso. O pedido principal foi realizado para a turma "&amp;$B$5&amp;", no valor de "&amp;TEXT($K$13,"R$ #,##0.00")&amp;", e a nova compra seria para a turma "&amp;$H$5&amp;", no valor de "&amp;TEXT($H$13,"R$ #,##0.00")&amp;". Após a análise da composição do pedido principal, da nova compra e do valor efetivamente pago, identificamos que a nova operação geraria saldo remanescente na loja. Como sobraria o valor de "&amp;TEXT($H$15,"R$ #,##0.00")&amp;_xlfn._LONGTEXT(" na loja, esse saldo não pode ficar disponível na loja. Por esse motivo, será necessário seguir com o cancelamento do pedido principal. Com isso, após seguirmos com o cancelamento do pedido principal, será necessário aguardar 24 horas. Após esse prazo, a ","escola deverá realizar a matrícula do(a) aluno(a) na turma correta dentro do LEX e, somente após esse ajuste, o material correto ficará disponível na loja para uma nova compra. Neste caso, o responsável deverá realizar a compra integral do novo material, ","conforme o valor do novo pedido."))</f>
        <v>Vamos seguir com a troca neste caso. O pedido principal foi realizado para a turma Year 3, no valor de R$ 4146,000, e a nova compra será para a turma Senior Kindergarten, no valor de R$ ,000. Após a análise da composição do pedido principal, da nova compra e do valor efetivamente pago, identificamos que é possível seguir com a troca neste cenário. Como o valor disponível na loja é suficiente para a nova compra, não haverá diferença a pagar pelo responsável. Após a confirmação da troca, será necessário aguardar 24 horas e, depois desse prazo, a escola deverá realizar o ajuste da matrícula do(a) aluno(a) na turma correta dentro do LEX. Somente após esse ajuste o valor ficará disponível na loja para realização da nova compra. Antes desse prazo, não deve ser feita nenhuma alteração no LEX. No momento da compra, orientem o responsável a verificar se o valor foi abatido corretamente antes de finalizar o pedido.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ht="15" hidden="1" customHeight="1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15" hidden="1" customHeight="1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2" ht="15" hidden="1" customHeight="1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ht="15" hidden="1" customHeight="1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5" hidden="1" customHeight="1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5" hidden="1" customHeight="1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15" customHeigh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24" customHeight="1" x14ac:dyDescent="0.35">
      <c r="A44" s="16" t="s">
        <v>37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ht="133.5" customHeight="1" x14ac:dyDescent="0.35">
      <c r="A45" s="17" t="str">
        <f>IF($B$17="PODE TROCAR","Vamos seguir com a troca do material neste caso. O pedido principal foi realizado para a turma "&amp;$B$5&amp;", no valor de "&amp;TEXT($K$13,"R$ #,##0.00")&amp;", e a nova compra será para a turma "&amp;$H$5&amp;", no valor de "&amp;TEXT($H$13,"R$ #,##0.00")&amp;". Após a análise da composição do pedido principal, da nova compra e do valor efetivamente pago, identificamos que é possível seguir com a troca neste cenário. "&amp;IF($H$14&gt;0,"Como o valor disponível na loja é menor que o valor da nova compra, será necessário realizar o pagamento da diferença de "&amp;TEXT($H$14,"R$ #,##0.00")&amp;". ","Como o valor disponível na loja é suficiente para a nova compra, não haverá diferença a pagar. ")&amp;_xlfn._LONGTEXT("Após a confirmação da troca, será necessário aguardar 24 horas e, depois desse prazo, avisar a escola para que ela realize o ajuste da matrícula na turma correta dentro do LEX. Somente após esse ajuste o valor ficará disponível na loja para realização da ","nova compra. Antes de finalizar o pedido, orientamos que seja verificado se o valor foi abatido corretamente."),"Não será possível seguir com a troca do material neste caso. O pedido principal foi realizado para a turma "&amp;$B$5&amp;", no valor de "&amp;TEXT($K$13,"R$ #,##0.00")&amp;", e a nova compra seria para a turma "&amp;$H$5&amp;", no valor de "&amp;TEXT($H$13,"R$ #,##0.00")&amp;". Após a análise da composição do pedido principal, da nova compra e do valor efetivamente pago, identificamos que a nova operação geraria saldo remanescente na loja. Como sobraria o valor de "&amp;TEXT($H$15,"R$ #,##0.00")&amp;_xlfn._LONGTEXT(" na loja, esse saldo não pode ficar disponível na loja. Por esse motivo, será necessário seguir com o cancelamento do pedido principal. Com isso, após seguirmos com o cancelamento do pedido principal, será necessário aguardar 24 horas. Após esse prazo, pe","dimos que entre em contato com a escola para que ela realize a matrícula na turma correta dentro do LEX e, somente após esse ajuste, o material correto ficará disponível na loja para uma nova compra. Neste caso, será necessário realizar a compra integral ","do novo material, conforme o valor do novo pedido."))</f>
        <v>Vamos seguir com a troca do material neste caso. O pedido principal foi realizado para a turma Year 3, no valor de R$ 4146,000, e a nova compra será para a turma Senior Kindergarten, no valor de R$ ,000. Após a análise da composição do pedido principal, da nova compra e do valor efetivamente pago, identificamos que é possível seguir com a troca neste cenário. Como o valor disponível na loja é suficiente para a nova compra, não haverá diferença a pagar. Após a confirmação da troca, será necessário aguardar 24 horas e, depois desse prazo, avisar a escola para que ela realize o ajuste da matrícula na turma correta dentro do LEX. Somente após esse ajuste o valor ficará disponível na loja para realização da nova compra. Antes de finalizar o pedido, orientamos que seja verificado se o valor foi abatido corretamente.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15" hidden="1" customHeight="1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15" hidden="1" customHeight="1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ht="15" hidden="1" customHeight="1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1:12" ht="15" hidden="1" customHeight="1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5" hidden="1" customHeight="1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 ht="15" hidden="1" customHeight="1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ht="15" customHeigh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ht="15" customHeigh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ht="15" customHeigh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ht="15" customHeigh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15" customHeigh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" customHeigh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</sheetData>
  <mergeCells count="30">
    <mergeCell ref="A1:H1"/>
    <mergeCell ref="A2:H2"/>
    <mergeCell ref="A4:B4"/>
    <mergeCell ref="D4:E4"/>
    <mergeCell ref="G4:H4"/>
    <mergeCell ref="H22:L22"/>
    <mergeCell ref="A23:G23"/>
    <mergeCell ref="H23:L23"/>
    <mergeCell ref="G9:H9"/>
    <mergeCell ref="A16:H16"/>
    <mergeCell ref="B17:H17"/>
    <mergeCell ref="A19:L19"/>
    <mergeCell ref="A20:G20"/>
    <mergeCell ref="H20:L20"/>
    <mergeCell ref="A44:L44"/>
    <mergeCell ref="A45:L51"/>
    <mergeCell ref="Q4:AB4"/>
    <mergeCell ref="Q5:AB14"/>
    <mergeCell ref="A28:L28"/>
    <mergeCell ref="A30:L30"/>
    <mergeCell ref="A31:L33"/>
    <mergeCell ref="A35:L35"/>
    <mergeCell ref="A36:L42"/>
    <mergeCell ref="A24:G24"/>
    <mergeCell ref="H24:L24"/>
    <mergeCell ref="A25:G25"/>
    <mergeCell ref="H25:L25"/>
    <mergeCell ref="A21:G21"/>
    <mergeCell ref="H21:L21"/>
    <mergeCell ref="A22:G22"/>
  </mergeCells>
  <conditionalFormatting sqref="B17">
    <cfRule type="expression" dxfId="3" priority="2">
      <formula>$B$17="NÃO PODE TROCAR"</formula>
    </cfRule>
    <cfRule type="expression" dxfId="2" priority="3">
      <formula>$B$17="PODE TROCAR"</formula>
    </cfRule>
    <cfRule type="expression" dxfId="1" priority="4">
      <formula>B17="PODE TROCAR"</formula>
    </cfRule>
    <cfRule type="expression" dxfId="0" priority="5">
      <formula>B17="NÃO PODE TROCAR"</formula>
    </cfRule>
  </conditionalFormatting>
  <dataValidations count="1">
    <dataValidation type="list" sqref="B6:B7 H6:H7 B9" xr:uid="{00000000-0002-0000-00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Base!$A$2:$A$18</xm:f>
          </x14:formula1>
          <x14:formula2>
            <xm:f>0</xm:f>
          </x14:formula2>
          <xm:sqref>B5 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="48" zoomScaleNormal="48" workbookViewId="0">
      <pane ySplit="1" topLeftCell="A2" activePane="bottomLeft" state="frozen"/>
      <selection pane="bottomLeft" activeCell="N15" sqref="N15"/>
    </sheetView>
  </sheetViews>
  <sheetFormatPr defaultColWidth="8.6328125" defaultRowHeight="15" customHeight="1" x14ac:dyDescent="0.35"/>
  <cols>
    <col min="1" max="1" width="26" customWidth="1"/>
    <col min="2" max="2" width="12" customWidth="1"/>
    <col min="3" max="4" width="18" customWidth="1"/>
    <col min="5" max="5" width="14" customWidth="1"/>
    <col min="6" max="6" width="16" customWidth="1"/>
    <col min="7" max="7" width="15" customWidth="1"/>
    <col min="8" max="8" width="20" customWidth="1"/>
  </cols>
  <sheetData>
    <row r="1" spans="1:8" ht="15" customHeight="1" x14ac:dyDescent="0.35">
      <c r="A1" s="29" t="s">
        <v>38</v>
      </c>
      <c r="B1" s="29"/>
      <c r="C1" s="29"/>
      <c r="D1" s="29"/>
      <c r="E1" s="29"/>
      <c r="F1" s="29"/>
      <c r="G1" s="29"/>
      <c r="H1" s="29"/>
    </row>
    <row r="2" spans="1:8" ht="15" customHeight="1" x14ac:dyDescent="0.35">
      <c r="A2" s="30" t="s">
        <v>39</v>
      </c>
      <c r="B2" s="30"/>
      <c r="C2" s="30"/>
      <c r="D2" s="30"/>
      <c r="E2" s="30"/>
      <c r="F2" s="30"/>
      <c r="G2" s="30"/>
      <c r="H2" s="30"/>
    </row>
    <row r="3" spans="1:8" ht="15" customHeight="1" x14ac:dyDescent="0.35">
      <c r="A3" s="30"/>
      <c r="B3" s="30"/>
      <c r="C3" s="30"/>
      <c r="D3" s="30"/>
      <c r="E3" s="30"/>
      <c r="F3" s="30"/>
      <c r="G3" s="30"/>
      <c r="H3" s="30"/>
    </row>
    <row r="4" spans="1:8" ht="15" customHeight="1" x14ac:dyDescent="0.35">
      <c r="A4" s="1" t="s">
        <v>5</v>
      </c>
      <c r="B4" s="1" t="s">
        <v>7</v>
      </c>
      <c r="C4" s="1" t="s">
        <v>11</v>
      </c>
      <c r="D4" s="1" t="s">
        <v>13</v>
      </c>
      <c r="E4" s="1" t="s">
        <v>15</v>
      </c>
      <c r="F4" s="1" t="s">
        <v>17</v>
      </c>
      <c r="G4" s="1" t="s">
        <v>40</v>
      </c>
      <c r="H4" s="1" t="s">
        <v>41</v>
      </c>
    </row>
    <row r="5" spans="1:8" ht="27.75" customHeight="1" x14ac:dyDescent="0.35">
      <c r="A5" s="12" t="s">
        <v>42</v>
      </c>
      <c r="B5" s="13">
        <v>2999</v>
      </c>
      <c r="C5" s="13">
        <v>0</v>
      </c>
      <c r="D5" s="13">
        <v>0</v>
      </c>
      <c r="E5" s="13">
        <v>0</v>
      </c>
      <c r="F5" s="13">
        <v>0</v>
      </c>
      <c r="G5" s="13">
        <f t="shared" ref="G5:G21" si="0">SUM(B2:D2)</f>
        <v>0</v>
      </c>
      <c r="H5" s="13">
        <f t="shared" ref="H5:H21" si="1">SUM(B2:F2)</f>
        <v>0</v>
      </c>
    </row>
    <row r="6" spans="1:8" ht="27.75" customHeight="1" x14ac:dyDescent="0.35">
      <c r="A6" s="12" t="s">
        <v>43</v>
      </c>
      <c r="B6" s="13">
        <v>2999</v>
      </c>
      <c r="C6" s="13">
        <v>0</v>
      </c>
      <c r="D6" s="13">
        <v>0</v>
      </c>
      <c r="E6" s="13">
        <v>0</v>
      </c>
      <c r="F6" s="13">
        <v>0</v>
      </c>
      <c r="G6" s="13">
        <f t="shared" si="0"/>
        <v>0</v>
      </c>
      <c r="H6" s="13">
        <f t="shared" si="1"/>
        <v>0</v>
      </c>
    </row>
    <row r="7" spans="1:8" ht="27.75" customHeight="1" x14ac:dyDescent="0.35">
      <c r="A7" s="12" t="s">
        <v>44</v>
      </c>
      <c r="B7" s="13">
        <v>3222</v>
      </c>
      <c r="C7" s="13">
        <v>0</v>
      </c>
      <c r="D7" s="13">
        <v>0</v>
      </c>
      <c r="E7" s="13">
        <v>0</v>
      </c>
      <c r="F7" s="13">
        <v>0</v>
      </c>
      <c r="G7" s="13">
        <f t="shared" si="0"/>
        <v>0</v>
      </c>
      <c r="H7" s="13">
        <f t="shared" si="1"/>
        <v>0</v>
      </c>
    </row>
    <row r="8" spans="1:8" ht="27.75" customHeight="1" x14ac:dyDescent="0.35">
      <c r="A8" s="12" t="s">
        <v>45</v>
      </c>
      <c r="B8" s="13">
        <v>3828</v>
      </c>
      <c r="C8" s="13">
        <v>0</v>
      </c>
      <c r="D8" s="13">
        <v>0</v>
      </c>
      <c r="E8" s="13">
        <v>0</v>
      </c>
      <c r="F8" s="13">
        <v>0</v>
      </c>
      <c r="G8" s="13">
        <f t="shared" si="0"/>
        <v>2999</v>
      </c>
      <c r="H8" s="13">
        <f t="shared" si="1"/>
        <v>2999</v>
      </c>
    </row>
    <row r="9" spans="1:8" ht="27.75" customHeight="1" x14ac:dyDescent="0.35">
      <c r="A9" s="12" t="s">
        <v>46</v>
      </c>
      <c r="B9" s="13">
        <v>3828</v>
      </c>
      <c r="C9" s="13">
        <v>0</v>
      </c>
      <c r="D9" s="13">
        <v>0</v>
      </c>
      <c r="E9" s="13">
        <v>0</v>
      </c>
      <c r="F9" s="13">
        <v>0</v>
      </c>
      <c r="G9" s="13">
        <f t="shared" si="0"/>
        <v>2999</v>
      </c>
      <c r="H9" s="13">
        <f t="shared" si="1"/>
        <v>2999</v>
      </c>
    </row>
    <row r="10" spans="1:8" ht="27.75" customHeight="1" x14ac:dyDescent="0.35">
      <c r="A10" s="12" t="s">
        <v>6</v>
      </c>
      <c r="B10" s="13">
        <v>4065</v>
      </c>
      <c r="C10" s="13">
        <v>147</v>
      </c>
      <c r="D10" s="13">
        <v>0</v>
      </c>
      <c r="E10" s="13">
        <v>0</v>
      </c>
      <c r="F10" s="13">
        <v>0</v>
      </c>
      <c r="G10" s="13">
        <f t="shared" si="0"/>
        <v>3222</v>
      </c>
      <c r="H10" s="13">
        <f t="shared" si="1"/>
        <v>3222</v>
      </c>
    </row>
    <row r="11" spans="1:8" ht="27.75" customHeight="1" x14ac:dyDescent="0.35">
      <c r="A11" s="12" t="s">
        <v>8</v>
      </c>
      <c r="B11" s="13">
        <v>4065</v>
      </c>
      <c r="C11" s="13">
        <v>126</v>
      </c>
      <c r="D11" s="13">
        <v>0</v>
      </c>
      <c r="E11" s="13">
        <v>0</v>
      </c>
      <c r="F11" s="13">
        <v>0</v>
      </c>
      <c r="G11" s="13">
        <f t="shared" si="0"/>
        <v>3828</v>
      </c>
      <c r="H11" s="13">
        <f t="shared" si="1"/>
        <v>3828</v>
      </c>
    </row>
    <row r="12" spans="1:8" ht="27.75" customHeight="1" x14ac:dyDescent="0.35">
      <c r="A12" s="12" t="s">
        <v>47</v>
      </c>
      <c r="B12" s="13">
        <v>4065</v>
      </c>
      <c r="C12" s="13">
        <v>81</v>
      </c>
      <c r="D12" s="13">
        <v>0</v>
      </c>
      <c r="E12" s="13">
        <v>366</v>
      </c>
      <c r="F12" s="13">
        <v>0</v>
      </c>
      <c r="G12" s="13">
        <f t="shared" si="0"/>
        <v>3828</v>
      </c>
      <c r="H12" s="13">
        <f t="shared" si="1"/>
        <v>3828</v>
      </c>
    </row>
    <row r="13" spans="1:8" ht="27.75" customHeight="1" x14ac:dyDescent="0.35">
      <c r="A13" s="12" t="s">
        <v>48</v>
      </c>
      <c r="B13" s="13">
        <v>4065</v>
      </c>
      <c r="C13" s="13">
        <v>66</v>
      </c>
      <c r="D13" s="13">
        <v>0</v>
      </c>
      <c r="E13" s="13">
        <v>366</v>
      </c>
      <c r="F13" s="13">
        <v>283</v>
      </c>
      <c r="G13" s="13">
        <f t="shared" si="0"/>
        <v>4212</v>
      </c>
      <c r="H13" s="13">
        <f t="shared" si="1"/>
        <v>4212</v>
      </c>
    </row>
    <row r="14" spans="1:8" ht="27.75" customHeight="1" x14ac:dyDescent="0.35">
      <c r="A14" s="12" t="s">
        <v>49</v>
      </c>
      <c r="B14" s="13">
        <v>4065</v>
      </c>
      <c r="C14" s="13">
        <v>66</v>
      </c>
      <c r="D14" s="13">
        <v>0</v>
      </c>
      <c r="E14" s="13">
        <v>366</v>
      </c>
      <c r="F14" s="13">
        <v>283</v>
      </c>
      <c r="G14" s="13">
        <f t="shared" si="0"/>
        <v>4191</v>
      </c>
      <c r="H14" s="13">
        <f t="shared" si="1"/>
        <v>4191</v>
      </c>
    </row>
    <row r="15" spans="1:8" ht="27.75" customHeight="1" x14ac:dyDescent="0.35">
      <c r="A15" s="12" t="s">
        <v>50</v>
      </c>
      <c r="B15" s="13">
        <v>4182</v>
      </c>
      <c r="C15" s="13">
        <v>66</v>
      </c>
      <c r="D15" s="13">
        <v>165</v>
      </c>
      <c r="E15" s="13">
        <v>366</v>
      </c>
      <c r="F15" s="13">
        <v>319</v>
      </c>
      <c r="G15" s="13">
        <f t="shared" si="0"/>
        <v>4146</v>
      </c>
      <c r="H15" s="13">
        <f t="shared" si="1"/>
        <v>4512</v>
      </c>
    </row>
    <row r="16" spans="1:8" ht="27.75" customHeight="1" x14ac:dyDescent="0.35">
      <c r="A16" s="12" t="s">
        <v>51</v>
      </c>
      <c r="B16" s="13">
        <v>4182</v>
      </c>
      <c r="C16" s="13">
        <v>66</v>
      </c>
      <c r="D16" s="13">
        <v>165</v>
      </c>
      <c r="E16" s="13">
        <v>486</v>
      </c>
      <c r="F16" s="13">
        <v>314</v>
      </c>
      <c r="G16" s="13">
        <f t="shared" si="0"/>
        <v>4131</v>
      </c>
      <c r="H16" s="13">
        <f t="shared" si="1"/>
        <v>4780</v>
      </c>
    </row>
    <row r="17" spans="1:8" ht="27.75" customHeight="1" x14ac:dyDescent="0.35">
      <c r="A17" s="12" t="s">
        <v>52</v>
      </c>
      <c r="B17" s="13">
        <v>4182</v>
      </c>
      <c r="C17" s="13">
        <v>66</v>
      </c>
      <c r="D17" s="13">
        <v>165</v>
      </c>
      <c r="E17" s="13">
        <v>486</v>
      </c>
      <c r="F17" s="13">
        <v>314</v>
      </c>
      <c r="G17" s="13">
        <f t="shared" si="0"/>
        <v>4131</v>
      </c>
      <c r="H17" s="13">
        <f t="shared" si="1"/>
        <v>4780</v>
      </c>
    </row>
    <row r="18" spans="1:8" ht="27.75" customHeight="1" x14ac:dyDescent="0.35">
      <c r="A18" s="12" t="s">
        <v>53</v>
      </c>
      <c r="B18" s="13">
        <v>4182</v>
      </c>
      <c r="C18" s="13">
        <v>66</v>
      </c>
      <c r="D18" s="13">
        <v>165</v>
      </c>
      <c r="E18" s="13">
        <v>413</v>
      </c>
      <c r="F18" s="13">
        <v>314</v>
      </c>
      <c r="G18" s="13">
        <f t="shared" si="0"/>
        <v>4413</v>
      </c>
      <c r="H18" s="13">
        <f t="shared" si="1"/>
        <v>5098</v>
      </c>
    </row>
    <row r="19" spans="1:8" ht="27.75" customHeight="1" x14ac:dyDescent="0.35">
      <c r="A19" s="12" t="s">
        <v>54</v>
      </c>
      <c r="B19" s="13">
        <v>4485</v>
      </c>
      <c r="C19" s="13">
        <v>0</v>
      </c>
      <c r="D19" s="13">
        <v>0</v>
      </c>
      <c r="E19" s="13">
        <v>0</v>
      </c>
      <c r="F19" s="13">
        <v>0</v>
      </c>
      <c r="G19" s="13">
        <f t="shared" si="0"/>
        <v>4413</v>
      </c>
      <c r="H19" s="13">
        <f t="shared" si="1"/>
        <v>5213</v>
      </c>
    </row>
    <row r="20" spans="1:8" ht="27.75" customHeight="1" x14ac:dyDescent="0.35">
      <c r="A20" s="12" t="s">
        <v>55</v>
      </c>
      <c r="B20" s="13">
        <v>4485</v>
      </c>
      <c r="C20" s="13">
        <v>0</v>
      </c>
      <c r="D20" s="13">
        <v>0</v>
      </c>
      <c r="E20" s="13">
        <v>0</v>
      </c>
      <c r="F20" s="13">
        <v>0</v>
      </c>
      <c r="G20" s="13">
        <f t="shared" si="0"/>
        <v>4413</v>
      </c>
      <c r="H20" s="13">
        <f t="shared" si="1"/>
        <v>5213</v>
      </c>
    </row>
    <row r="21" spans="1:8" ht="27.75" customHeight="1" x14ac:dyDescent="0.35">
      <c r="A21" s="12" t="s">
        <v>56</v>
      </c>
      <c r="B21" s="13">
        <v>4485</v>
      </c>
      <c r="C21" s="13">
        <v>0</v>
      </c>
      <c r="D21" s="13">
        <v>0</v>
      </c>
      <c r="E21" s="13">
        <v>0</v>
      </c>
      <c r="F21" s="13">
        <v>0</v>
      </c>
      <c r="G21" s="13">
        <f t="shared" si="0"/>
        <v>4413</v>
      </c>
      <c r="H21" s="13">
        <f t="shared" si="1"/>
        <v>5140</v>
      </c>
    </row>
  </sheetData>
  <mergeCells count="2">
    <mergeCell ref="A1:H1"/>
    <mergeCell ref="A2:H3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be041442-f3b6-4be1-8509-eca9c817528f}" enabled="0" method="" siteId="{be041442-f3b6-4be1-8509-eca9c817528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Calculadora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TATIANE BARBOSA DOS SANTOS XAVIER</cp:lastModifiedBy>
  <dcterms:created xsi:type="dcterms:W3CDTF">2026-03-11T16:49:54Z</dcterms:created>
  <dcterms:modified xsi:type="dcterms:W3CDTF">2026-03-11T21:46:00Z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2026-03-10T18:39:14Z</dcterms:created>
  <dc:creator>openpyxl</dc:creator>
  <dc:description/>
  <dc:language>en-US</dc:language>
  <cp:lastModifiedBy/>
  <dcterms:modified xsi:type="dcterms:W3CDTF">2026-03-11T16:32:48Z</dcterms:modified>
  <cp:revision>0</cp:revision>
  <dc:subject/>
  <dc:title/>
</cp:coreProperties>
</file>